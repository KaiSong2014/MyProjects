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166201f49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清单" sheetId="1" r:id="Rd59cb250014f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"/>
    <x:numFmt numFmtId="202" formatCode="0.00%"/>
  </x:numFmts>
  <x:fonts count="4">
    <x:font>
      <x:sz val="11"/>
      <x:name val="Carlito"/>
    </x:font>
    <x:font>
      <x:sz val="12"/>
      <x:color rgb="FF000000"/>
      <x:name val="宋体"/>
    </x:font>
    <x:font>
      <x:b/>
      <x:sz val="12"/>
      <x:color rgb="FFFFFFFF"/>
      <x:name val="宋体"/>
    </x:font>
    <x:font>
      <x:sz val="12"/>
      <x:color rgb="FF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62a2f35b04dbd" /><Relationship Type="http://schemas.openxmlformats.org/officeDocument/2006/relationships/theme" Target="/xl/theme/theme1.xml" Id="Rb1b0da25b3ac4507" /><Relationship Type="http://schemas.openxmlformats.org/officeDocument/2006/relationships/sharedStrings" Target="/xl/sharedStrings.xml" Id="R8e84bf4cacf64164" /><Relationship Type="http://schemas.openxmlformats.org/officeDocument/2006/relationships/worksheet" Target="/xl/worksheets/sheet1.xml" Id="Rd59cb250014f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7.780000686645508" hidden="0" customWidth="1"/>
    <x:col min="3" max="3" width="40" hidden="0" customWidth="1"/>
    <x:col min="4" max="4" width="17.559999465942383" hidden="0" customWidth="1"/>
    <x:col min="5" max="5" width="12.4399995803833" hidden="0" customWidth="1"/>
    <x:col min="6" max="6" width="9.5600004196167" hidden="0" customWidth="1"/>
    <x:col min="7" max="7" width="14.670000076293945" hidden="0" customWidth="1"/>
    <x:col min="8" max="8" width="15.5600004196167" hidden="0" customWidth="1"/>
    <x:col min="9" max="9" width="37.779998779296875" hidden="0" customWidth="1"/>
  </x:cols>
  <x:sheetData>
    <x:row r="1" ht="25.5" customHeight="1">
      <x:c r="A1" s="4" t="str">
        <x:v>工业采集试点示例报价清单</x:v>
      </x:c>
      <x:c r="B1" s="5"/>
      <x:c r="C1" s="4"/>
      <x:c r="D1" s="5"/>
      <x:c r="E1" s="5"/>
      <x:c r="F1" s="5"/>
      <x:c r="G1" s="5"/>
      <x:c r="H1" s="4"/>
      <x:c r="I1" s="4"/>
    </x:row>
    <x:row r="2" ht="25.5" customHeight="1">
      <x:c r="A2" s="4" t="str">
        <x:v>币种：人民币；人工单价：元/小时；工时：人时；金额：元；所有明细为未税价格。</x:v>
      </x:c>
      <x:c r="B2" s="5"/>
      <x:c r="C2" s="4"/>
      <x:c r="D2" s="5"/>
      <x:c r="E2" s="5"/>
      <x:c r="F2" s="5"/>
      <x:c r="G2" s="5"/>
      <x:c r="H2" s="4"/>
      <x:c r="I2" s="4"/>
    </x:row>
    <x:row r="3" ht="27.75" customHeight="1">
      <x:c r="A3" s="4" t="str">
        <x:v>仅演示格式与公式：一个车间、只读采集、单环境部署；以下人工费率、工时、设备及税率均为虚构测试参数。实际项目需重新分析和询价。</x:v>
      </x:c>
      <x:c r="B3" s="5"/>
      <x:c r="C3" s="4"/>
      <x:c r="D3" s="5"/>
      <x:c r="E3" s="5"/>
      <x:c r="F3" s="5"/>
      <x:c r="G3" s="5"/>
      <x:c r="H3" s="4"/>
      <x:c r="I3" s="4"/>
    </x:row>
    <x:row r="4" ht="9" customHeight="1">
      <x:c r="A4" s="4"/>
      <x:c r="B4" s="5"/>
      <x:c r="C4" s="4"/>
      <x:c r="D4" s="5"/>
      <x:c r="E4" s="5"/>
      <x:c r="F4" s="5"/>
      <x:c r="G4" s="5"/>
      <x:c r="H4" s="4"/>
      <x:c r="I4" s="4"/>
    </x:row>
    <x:row r="5" ht="34.5" customHeight="1">
      <x:c r="A5" s="8" t="str">
        <x:v>序号</x:v>
      </x:c>
      <x:c r="B5" s="9" t="str">
        <x:v>功能模块名称</x:v>
      </x:c>
      <x:c r="C5" s="8" t="str">
        <x:v>功能模块描述</x:v>
      </x:c>
      <x:c r="D5" s="9" t="str">
        <x:v>工种</x:v>
      </x:c>
      <x:c r="E5" s="9" t="str">
        <x:v>人工单价</x:v>
      </x:c>
      <x:c r="F5" s="9" t="str">
        <x:v>工时</x:v>
      </x:c>
      <x:c r="G5" s="9" t="str">
        <x:v>模块总价</x:v>
      </x:c>
      <x:c r="H5" s="8" t="str">
        <x:v>模块合计</x:v>
      </x:c>
      <x:c r="I5" s="8" t="str">
        <x:v>备注建议</x:v>
      </x:c>
    </x:row>
    <x:row r="6" ht="43.5" customHeight="1">
      <x:c r="A6" s="4" t="n">
        <x:v>1</x:v>
      </x:c>
      <x:c r="B6" s="5" t="str">
        <x:v>设备采集</x:v>
      </x:c>
      <x:c r="C6" s="4" t="str">
        <x:v>梳理12台设备寄存器和采样规则，明确状态、温度及计数的单位、异常值和验收样本。</x:v>
      </x:c>
      <x:c r="D6" s="5" t="str">
        <x:v>产品经理</x:v>
      </x:c>
      <x:c r="E6" s="10" t="n">
        <x:v>80</x:v>
      </x:c>
      <x:c r="F6" s="11" t="n">
        <x:v>8</x:v>
      </x:c>
      <x:c r="G6" s="10" t="n">
        <x:f>IF(AND(ISNUMBER(E6),ISNUMBER(F6)),ROUND(E6*F6,2),"待确认")</x:f>
        <x:v>640</x:v>
      </x:c>
      <x:c r="H6" s="12" t="n">
        <x:f>IF(COUNT(G6:G8)=3,SUM(G6:G8),"待确认")</x:f>
        <x:v>4560</x:v>
      </x:c>
      <x:c r="I6" s="4" t="str">
        <x:v>只读采集，不包含PLC写入或安全联锁。
税组：软件</x:v>
      </x:c>
    </x:row>
    <x:row r="7" ht="59.25" customHeight="1">
      <x:c r="A7" s="4" t="n">
        <x:v>2</x:v>
      </x:c>
      <x:c r="B7" s="5"/>
      <x:c r="C7" s="4" t="str">
        <x:v>实现Modbus TCP及OPC UA采集适配、每5秒读取、断网缓存与补传去重，提供采集异常日志。</x:v>
      </x:c>
      <x:c r="D7" s="5" t="str">
        <x:v>设备集成</x:v>
      </x:c>
      <x:c r="E7" s="10" t="n">
        <x:v>100</x:v>
      </x:c>
      <x:c r="F7" s="11" t="n">
        <x:v>32</x:v>
      </x:c>
      <x:c r="G7" s="10" t="n">
        <x:f>IF(AND(ISNUMBER(E7),ISNUMBER(F7)),ROUND(E7*F7,2),"待确认")</x:f>
        <x:v>3200</x:v>
      </x:c>
      <x:c r="H7" s="12"/>
      <x:c r="I7" s="4" t="str">
        <x:v>客户提供寄存器及接口说明；共用连接管理只计一次。
税组：软件</x:v>
      </x:c>
    </x:row>
    <x:row r="8" ht="43.5" customHeight="1">
      <x:c r="A8" s="4" t="n">
        <x:v>3</x:v>
      </x:c>
      <x:c r="B8" s="5"/>
      <x:c r="C8" s="4" t="str">
        <x:v>验证采样单位、状态转换、断网恢复及补传去重，使用模拟输入逐项核对记录。</x:v>
      </x:c>
      <x:c r="D8" s="5" t="str">
        <x:v>测试</x:v>
      </x:c>
      <x:c r="E8" s="10" t="n">
        <x:v>60</x:v>
      </x:c>
      <x:c r="F8" s="11" t="n">
        <x:v>12</x:v>
      </x:c>
      <x:c r="G8" s="10" t="n">
        <x:f>IF(AND(ISNUMBER(E8),ISNUMBER(F8)),ROUND(E8*F8,2),"待确认")</x:f>
        <x:v>720</x:v>
      </x:c>
      <x:c r="H8" s="12"/>
      <x:c r="I8" s="4" t="str">
        <x:v>覆盖两种协议和断网30分钟恢复场景。
税组：软件</x:v>
      </x:c>
    </x:row>
    <x:row r="9" ht="43.5" customHeight="1">
      <x:c r="A9" s="4" t="n">
        <x:v>4</x:v>
      </x:c>
      <x:c r="B9" s="5" t="str">
        <x:v>看板与告警</x:v>
      </x:c>
      <x:c r="C9" s="4" t="str">
        <x:v>实现12台设备状态看板、单设备7天趋势查询、告警筛选及确认操作界面。</x:v>
      </x:c>
      <x:c r="D9" s="5" t="str">
        <x:v>前端开发</x:v>
      </x:c>
      <x:c r="E9" s="10" t="n">
        <x:v>80</x:v>
      </x:c>
      <x:c r="F9" s="11" t="n">
        <x:v>24</x:v>
      </x:c>
      <x:c r="G9" s="10" t="n">
        <x:f>IF(AND(ISNUMBER(E9),ISNUMBER(F9)),ROUND(E9*F9,2),"待确认")</x:f>
        <x:v>1920</x:v>
      </x:c>
      <x:c r="H9" s="12" t="n">
        <x:f>IF(COUNT(G9:G11)=3,SUM(G9:G11),"待确认")</x:f>
        <x:v>5040</x:v>
      </x:c>
      <x:c r="I9" s="4" t="str">
        <x:v>复用现有UI组件；不做三维场景。
税组：软件</x:v>
      </x:c>
    </x:row>
    <x:row r="10" ht="43.5" customHeight="1">
      <x:c r="A10" s="4" t="n">
        <x:v>5</x:v>
      </x:c>
      <x:c r="B10" s="5"/>
      <x:c r="C10" s="4" t="str">
        <x:v>实现温度持续30秒超阈值规则、解除记录、操作确认、历史查询及告警CSV导出接口。</x:v>
      </x:c>
      <x:c r="D10" s="5" t="str">
        <x:v>后端开发</x:v>
      </x:c>
      <x:c r="E10" s="10" t="n">
        <x:v>90</x:v>
      </x:c>
      <x:c r="F10" s="11" t="n">
        <x:v>28</x:v>
      </x:c>
      <x:c r="G10" s="10" t="n">
        <x:f>IF(AND(ISNUMBER(E10),ISNUMBER(F10)),ROUND(E10*F10,2),"待确认")</x:f>
        <x:v>2520</x:v>
      </x:c>
      <x:c r="H10" s="12"/>
      <x:c r="I10" s="4" t="str">
        <x:v>本期只含站内通知；短信与预测诊断不计入。
税组：软件</x:v>
      </x:c>
    </x:row>
    <x:row r="11" ht="43.5" customHeight="1">
      <x:c r="A11" s="4" t="n">
        <x:v>6</x:v>
      </x:c>
      <x:c r="B11" s="5"/>
      <x:c r="C11" s="4" t="str">
        <x:v>核对阈值持续时间、解除逻辑、确认记录及CSV内容，并验证只读角色权限。</x:v>
      </x:c>
      <x:c r="D11" s="5" t="str">
        <x:v>测试</x:v>
      </x:c>
      <x:c r="E11" s="10" t="n">
        <x:v>60</x:v>
      </x:c>
      <x:c r="F11" s="11" t="n">
        <x:v>10</x:v>
      </x:c>
      <x:c r="G11" s="10" t="n">
        <x:f>IF(AND(ISNUMBER(E11),ISNUMBER(F11)),ROUND(E11*F11,2),"待确认")</x:f>
        <x:v>600</x:v>
      </x:c>
      <x:c r="H11" s="12"/>
      <x:c r="I11" s="4" t="str">
        <x:v>以约定验收数据核对趋势及告警。
税组：软件</x:v>
      </x:c>
    </x:row>
    <x:row r="12" ht="59.25" customHeight="1">
      <x:c r="A12" s="4" t="n">
        <x:v>7</x:v>
      </x:c>
      <x:c r="B12" s="5" t="str">
        <x:v>硬件与实施</x:v>
      </x:c>
      <x:c r="C12" s="4" t="str">
        <x:v>配置两台测试网关、完成部署和现场采集联调，提交操作说明并进行一次培训。</x:v>
      </x:c>
      <x:c r="D12" s="5" t="str">
        <x:v>部署实施</x:v>
      </x:c>
      <x:c r="E12" s="10" t="n">
        <x:v>80</x:v>
      </x:c>
      <x:c r="F12" s="11" t="n">
        <x:v>16</x:v>
      </x:c>
      <x:c r="G12" s="10" t="n">
        <x:f>IF(AND(ISNUMBER(E12),ISNUMBER(F12)),ROUND(E12*F12,2),"待确认")</x:f>
        <x:v>1280</x:v>
      </x:c>
      <x:c r="H12" s="12" t="n">
        <x:f>IF(COUNT(G12:G15)=4,SUM(G12:G15),"待确认")</x:f>
        <x:v>8780</x:v>
      </x:c>
      <x:c r="I12" s="4" t="str">
        <x:v>差旅由客户承担；安装人工与设备采购分别列价。
税组：软件</x:v>
      </x:c>
    </x:row>
    <x:row r="13" ht="75" customHeight="1">
      <x:c r="A13" s="4" t="n">
        <x:v>8</x:v>
      </x:c>
      <x:c r="B13" s="5"/>
      <x:c r="C13" s="4" t="str">
        <x:v>采购WG-T01测试网关，至少双网口，用于两类设备协议接入。</x:v>
      </x:c>
      <x:c r="D13" s="5" t="str">
        <x:v>设备采购（非人工）</x:v>
      </x:c>
      <x:c r="E13" s="10"/>
      <x:c r="F13" s="11"/>
      <x:c r="G13" s="10" t="n">
        <x:f>ROUND(2*1800,2)</x:f>
        <x:v>3600</x:v>
      </x:c>
      <x:c r="H13" s="12"/>
      <x:c r="I13" s="4" t="str">
        <x:v>虚构测试型号及价格，来源为测试文档02，2026-10-12；不代表市场行情。
税组：硬件
数量：2台；采购未税单价：1800元。</x:v>
      </x:c>
    </x:row>
    <x:row r="14" ht="75" customHeight="1">
      <x:c r="A14" s="4" t="n">
        <x:v>9</x:v>
      </x:c>
      <x:c r="B14" s="5"/>
      <x:c r="C14" s="4" t="str">
        <x:v>采购IPC-T02测试工控机，16GB内存、512GB固态盘；安装现有采集服务。</x:v>
      </x:c>
      <x:c r="D14" s="5" t="str">
        <x:v>设备采购（非人工）</x:v>
      </x:c>
      <x:c r="E14" s="10"/>
      <x:c r="F14" s="11"/>
      <x:c r="G14" s="10" t="n">
        <x:f>ROUND(1*3200,2)</x:f>
        <x:v>3200</x:v>
      </x:c>
      <x:c r="H14" s="12"/>
      <x:c r="I14" s="4" t="str">
        <x:v>虚构测试型号及价格，来源为测试文档02，2026-10-12；实际型号和保修需询价。
税组：硬件
数量：1台；采购未税单价：3200元。</x:v>
      </x:c>
    </x:row>
    <x:row r="15" ht="75" customHeight="1">
      <x:c r="A15" s="4" t="n">
        <x:v>10</x:v>
      </x:c>
      <x:c r="B15" s="5"/>
      <x:c r="C15" s="4" t="str">
        <x:v>采购DISPLAY-T03测试显示器，24英寸，用于本地看板显示。</x:v>
      </x:c>
      <x:c r="D15" s="5" t="str">
        <x:v>设备采购（非人工）</x:v>
      </x:c>
      <x:c r="E15" s="10"/>
      <x:c r="F15" s="11"/>
      <x:c r="G15" s="10" t="n">
        <x:f>ROUND(1*700,2)</x:f>
        <x:v>700</x:v>
      </x:c>
      <x:c r="H15" s="12"/>
      <x:c r="I15" s="4" t="str">
        <x:v>虚构测试型号及价格，来源为测试文档02，2026-10-12；实际采购另行确认。
税组：硬件
数量：1台；采购未税单价：700元。</x:v>
      </x:c>
    </x:row>
    <x:row r="16" ht="25.5" customHeight="1">
      <x:c r="A16" s="4"/>
      <x:c r="B16" s="5"/>
      <x:c r="C16" s="4"/>
      <x:c r="D16" s="5"/>
      <x:c r="E16" s="5"/>
      <x:c r="F16" s="5"/>
      <x:c r="G16" s="10"/>
      <x:c r="H16" s="12"/>
      <x:c r="I16" s="4"/>
    </x:row>
    <x:row r="17" ht="25.5" customHeight="1">
      <x:c r="A17" s="4" t="str">
        <x:v>税率：软件</x:v>
      </x:c>
      <x:c r="B17" s="5"/>
      <x:c r="C17" s="4"/>
      <x:c r="D17" s="5"/>
      <x:c r="E17" s="13" t="n">
        <x:v>0.06</x:v>
      </x:c>
      <x:c r="F17" s="4" t="str">
        <x:v>按此税组未税合计计算税额，四舍五入到分。</x:v>
      </x:c>
      <x:c r="G17" s="12"/>
      <x:c r="H17" s="12"/>
      <x:c r="I17" s="4"/>
    </x:row>
    <x:row r="18" ht="25.5" customHeight="1">
      <x:c r="A18" s="4" t="str">
        <x:v>税率：硬件</x:v>
      </x:c>
      <x:c r="B18" s="5"/>
      <x:c r="C18" s="4"/>
      <x:c r="D18" s="5"/>
      <x:c r="E18" s="13" t="n">
        <x:v>0.13</x:v>
      </x:c>
      <x:c r="F18" s="4" t="str">
        <x:v>按此税组未税合计计算税额，四舍五入到分。</x:v>
      </x:c>
      <x:c r="G18" s="12"/>
      <x:c r="H18" s="12"/>
      <x:c r="I18" s="4"/>
    </x:row>
    <x:row r="19" ht="55.5" customHeight="1">
      <x:c r="A19" s="4" t="str">
        <x:v>税前总价</x:v>
      </x:c>
      <x:c r="B19" s="5"/>
      <x:c r="C19" s="4"/>
      <x:c r="D19" s="5"/>
      <x:c r="E19" s="5"/>
      <x:c r="F19" s="5"/>
      <x:c r="G19" s="16" t="n">
        <x:f>IF(COUNT(G6:G15)=10,SUM(G6:G15),"待确认")</x:f>
        <x:v>18380</x:v>
      </x:c>
      <x:c r="H19" s="17"/>
      <x:c r="I19" s="4" t="str">
        <x:v>按明细求和，模块合计不重复计入。</x:v>
      </x:c>
    </x:row>
    <x:row r="20" ht="55.5" customHeight="1">
      <x:c r="A20" s="4" t="str">
        <x:v>税后总价</x:v>
      </x:c>
      <x:c r="B20" s="5"/>
      <x:c r="C20" s="4"/>
      <x:c r="D20" s="5"/>
      <x:c r="E20" s="5"/>
      <x:c r="F20" s="5"/>
      <x:c r="G20" s="16" t="n">
        <x:f>IF(AND(ISNUMBER(G19),ISNUMBER($E$17),ISNUMBER($E$18)),ROUND(G19+ROUND(SUM(G6,G7,G8,G9,G10,G11,G12)*$E$17,2)+ROUND(SUM(G13,G14,G15)*$E$18,2),2),"待确认")</x:f>
        <x:v>20007.8</x:v>
      </x:c>
      <x:c r="H20" s="17"/>
      <x:c r="I20" s="4" t="str">
        <x:v>按上列税率计算；修改税率将更新总价。</x:v>
      </x:c>
    </x:row>
  </x:sheetData>
  <x:mergeCells>
    <x:mergeCell ref="A1:I1"/>
    <x:mergeCell ref="A2:I2"/>
    <x:mergeCell ref="A3:I3"/>
    <x:mergeCell ref="B6:B8"/>
    <x:mergeCell ref="H6:H8"/>
    <x:mergeCell ref="B9:B11"/>
    <x:mergeCell ref="H9:H11"/>
    <x:mergeCell ref="B12:B15"/>
    <x:mergeCell ref="H12:H15"/>
    <x:mergeCell ref="A17:D17"/>
    <x:mergeCell ref="F17:I17"/>
    <x:mergeCell ref="A18:D18"/>
    <x:mergeCell ref="F18:I18"/>
    <x:mergeCell ref="A19:F19"/>
    <x:mergeCell ref="G19:H19"/>
    <x:mergeCell ref="A20:F20"/>
    <x:mergeCell ref="G20:H20"/>
  </x:mergeCells>
  <x:pageMargins left="0.7" right="0.7" top="0.75" bottom="0.75" header="0.3" footer="0.3"/>
</x:worksheet>
</file>